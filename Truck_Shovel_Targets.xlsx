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uck Targets" sheetId="1" state="visible" r:id="rId3"/>
    <sheet name="Shovel Targets" sheetId="2" state="visible" r:id="rId4"/>
    <sheet name="Truck Haul Curv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<sst xmlns="http://schemas.openxmlformats.org/spreadsheetml/2006/main" count="188" uniqueCount="44">
  <si>
    <t xml:space="preserve">Truck (Cat 797) - Targets</t>
  </si>
  <si>
    <t xml:space="preserve">Source: Budget/&lt;Pit&gt; 2026 Budget.csv &amp; &lt;Pit&gt;_Fixed_Times.csv, resolved for 15-JUL-2026 Day Shift. PA/UA/OE &amp; TPNOH are monthly budget rates; NOH/GOH are monthly hours.</t>
  </si>
  <si>
    <t xml:space="preserve">Global constants</t>
  </si>
  <si>
    <t xml:space="preserve">Payload target (t)</t>
  </si>
  <si>
    <t xml:space="preserve">Min load-cycle NOH floor (min)</t>
  </si>
  <si>
    <t xml:space="preserve">Full-leg fraction (loaded share of travel)</t>
  </si>
  <si>
    <t xml:space="preserve">Availability &amp; haul rate - Cat 797, by pit</t>
  </si>
  <si>
    <t xml:space="preserve">Pit</t>
  </si>
  <si>
    <t xml:space="preserve">PA (%)</t>
  </si>
  <si>
    <t xml:space="preserve">UA (%)</t>
  </si>
  <si>
    <t xml:space="preserve">OE (%)</t>
  </si>
  <si>
    <t xml:space="preserve">NOH (h/mo)</t>
  </si>
  <si>
    <t xml:space="preserve">GOH (h/mo)</t>
  </si>
  <si>
    <t xml:space="preserve">TPNOH (t/h)</t>
  </si>
  <si>
    <t xml:space="preserve">MRM</t>
  </si>
  <si>
    <t xml:space="preserve">JPM</t>
  </si>
  <si>
    <t xml:space="preserve">Truck fixed cycle times (min) - by pit &amp; material</t>
  </si>
  <si>
    <t xml:space="preserve">Material</t>
  </si>
  <si>
    <t xml:space="preserve">Queue</t>
  </si>
  <si>
    <t xml:space="preserve">Spot</t>
  </si>
  <si>
    <t xml:space="preserve">Load</t>
  </si>
  <si>
    <t xml:space="preserve">Dump Idle</t>
  </si>
  <si>
    <t xml:space="preserve">Dumping</t>
  </si>
  <si>
    <t xml:space="preserve">Total</t>
  </si>
  <si>
    <t xml:space="preserve">Ore</t>
  </si>
  <si>
    <t xml:space="preserve">Waste</t>
  </si>
  <si>
    <t xml:space="preserve">Shovel - Targets</t>
  </si>
  <si>
    <t xml:space="preserve">Source: Budget/&lt;Pit&gt; 2026 Budget.csv, resolved for 15-JUL-2026 Day Shift. OE is derived NOH/GOH. Cycle budgets are for the 361 t payload target (c_b = 361*3600/TPNOH; Hang_b = c_b - Spot_b - Load_b).</t>
  </si>
  <si>
    <t xml:space="preserve">Availability &amp; load rate - by fleet &amp; pit</t>
  </si>
  <si>
    <t xml:space="preserve">Fleet</t>
  </si>
  <si>
    <t xml:space="preserve">BE 495B (cable)</t>
  </si>
  <si>
    <t xml:space="preserve">HIT 800 (hydraulic)</t>
  </si>
  <si>
    <t xml:space="preserve">Shovel cycle budgets (per fleet / pit / material) - 361 t basis</t>
  </si>
  <si>
    <t xml:space="preserve">Spot_b (s)</t>
  </si>
  <si>
    <t xml:space="preserve">Load_b (s)</t>
  </si>
  <si>
    <t xml:space="preserve">Hang_b (s)</t>
  </si>
  <si>
    <t xml:space="preserve">Cycle c_b (s)</t>
  </si>
  <si>
    <t xml:space="preserve">BE 495B</t>
  </si>
  <si>
    <t xml:space="preserve">HIT 800</t>
  </si>
  <si>
    <t xml:space="preserve">Truck haul-rate curve - by pit / material / haul distance</t>
  </si>
  <si>
    <t xml:space="preserve">Source: Budget/&lt;Pit&gt; Haul Curve.csv (Jul). TPNOH is the budget haul rate at each one-way haul distance (HD).</t>
  </si>
  <si>
    <t xml:space="preserve">HD (km)</t>
  </si>
  <si>
    <t xml:space="preserve">Cycle (min)</t>
  </si>
  <si>
    <t xml:space="preserve">Travel (min)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</si>
</sst>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"/>
    <numFmt numFmtId="167" formatCode="0.000"/>
    <numFmt numFmtId="168" formatCode="#,##0"/>
    <numFmt numFmtId="169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B2F36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1"/>
      <color rgb="FF33373E"/>
      <name val="Arial"/>
      <family val="0"/>
      <charset val="1"/>
    </font>
    <font>
      <sz val="10"/>
      <name val="Arial"/>
      <family val="0"/>
      <charset val="1"/>
    </font>
    <font>
      <sz val="11"/>
      <name val="&lt;openpyxl.styles.alignment.Alig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3A45"/>
        <bgColor rgb="FF33373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E5"/>
      </left>
      <right style="thin">
        <color rgb="FFD9DEE5"/>
      </right>
      <top style="thin">
        <color rgb="FFD9DEE5"/>
      </top>
      <bottom style="thin">
        <color rgb="FFD9DE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E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2B2F36"/>
      <rgbColor rgb="FF993300"/>
      <rgbColor rgb="FF993366"/>
      <rgbColor rgb="FF2F3A45"/>
      <rgbColor rgb="FF3337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4" min="3" style="0" width="10"/>
    <col collapsed="false" customWidth="true" hidden="false" outlineLevel="0" max="7" min="5" style="0" width="11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361</v>
      </c>
    </row>
    <row r="6" customFormat="false" ht="15" hidden="false" customHeight="false" outlineLevel="0" collapsed="false">
      <c r="A6" s="4" t="s">
        <v>4</v>
      </c>
      <c r="B6" s="6" t="n">
        <v>2.5</v>
      </c>
    </row>
    <row r="7" customFormat="false" ht="15" hidden="false" customHeight="false" outlineLevel="0" collapsed="false">
      <c r="A7" s="4" t="s">
        <v>5</v>
      </c>
      <c r="B7" s="7" t="n">
        <v>0.585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8" t="s">
        <v>7</v>
      </c>
      <c r="B10" s="9" t="s">
        <v>8</v>
      </c>
      <c r="C10" s="9" t="s">
        <v>9</v>
      </c>
      <c r="D10" s="9" t="s">
        <v>10</v>
      </c>
      <c r="E10" s="9" t="s">
        <v>11</v>
      </c>
      <c r="F10" s="9" t="s">
        <v>12</v>
      </c>
      <c r="G10" s="9" t="s">
        <v>13</v>
      </c>
    </row>
    <row r="11" customFormat="false" ht="15" hidden="false" customHeight="false" outlineLevel="0" collapsed="false">
      <c r="A11" s="4" t="s">
        <v>14</v>
      </c>
      <c r="B11" s="6" t="n">
        <v>83.5</v>
      </c>
      <c r="C11" s="6" t="n">
        <v>98</v>
      </c>
      <c r="D11" s="6" t="n">
        <v>92.5</v>
      </c>
      <c r="E11" s="6" t="n">
        <v>408.7</v>
      </c>
      <c r="F11" s="6" t="n">
        <v>441.9</v>
      </c>
      <c r="G11" s="10" t="n">
        <v>672</v>
      </c>
    </row>
    <row r="12" customFormat="false" ht="15" hidden="false" customHeight="false" outlineLevel="0" collapsed="false">
      <c r="A12" s="4" t="s">
        <v>15</v>
      </c>
      <c r="B12" s="6" t="n">
        <v>83.5</v>
      </c>
      <c r="C12" s="6" t="n">
        <v>98</v>
      </c>
      <c r="D12" s="6" t="n">
        <v>92.5</v>
      </c>
      <c r="E12" s="6" t="n">
        <v>154.4</v>
      </c>
      <c r="F12" s="6" t="n">
        <v>166.9</v>
      </c>
      <c r="G12" s="10" t="n">
        <v>818</v>
      </c>
    </row>
    <row r="14" customFormat="false" ht="15" hidden="false" customHeight="false" outlineLevel="0" collapsed="false">
      <c r="A14" s="3" t="s">
        <v>16</v>
      </c>
    </row>
    <row r="15" customFormat="false" ht="15" hidden="false" customHeight="false" outlineLevel="0" collapsed="false">
      <c r="A15" s="8" t="s">
        <v>7</v>
      </c>
      <c r="B15" s="9" t="s">
        <v>17</v>
      </c>
      <c r="C15" s="9" t="s">
        <v>18</v>
      </c>
      <c r="D15" s="9" t="s">
        <v>19</v>
      </c>
      <c r="E15" s="9" t="s">
        <v>20</v>
      </c>
      <c r="F15" s="9" t="s">
        <v>21</v>
      </c>
      <c r="G15" s="9" t="s">
        <v>22</v>
      </c>
      <c r="H15" s="9" t="s">
        <v>23</v>
      </c>
    </row>
    <row r="16" customFormat="false" ht="15" hidden="false" customHeight="false" outlineLevel="0" collapsed="false">
      <c r="A16" s="4" t="s">
        <v>14</v>
      </c>
      <c r="B16" s="4" t="s">
        <v>24</v>
      </c>
      <c r="C16" s="7" t="n">
        <v>1.421</v>
      </c>
      <c r="D16" s="7" t="n">
        <v>1.027</v>
      </c>
      <c r="E16" s="7" t="n">
        <v>2.402</v>
      </c>
      <c r="F16" s="7" t="n">
        <v>1.507</v>
      </c>
      <c r="G16" s="7" t="n">
        <v>0.654</v>
      </c>
      <c r="H16" s="7" t="n">
        <f aca="false">SUM(C16:G16)</f>
        <v>7.011</v>
      </c>
    </row>
    <row r="17" customFormat="false" ht="15" hidden="false" customHeight="false" outlineLevel="0" collapsed="false">
      <c r="A17" s="4" t="s">
        <v>14</v>
      </c>
      <c r="B17" s="4" t="s">
        <v>25</v>
      </c>
      <c r="C17" s="7" t="n">
        <v>1.323</v>
      </c>
      <c r="D17" s="7" t="n">
        <v>1.093</v>
      </c>
      <c r="E17" s="7" t="n">
        <v>2.469</v>
      </c>
      <c r="F17" s="7" t="n">
        <v>0.763</v>
      </c>
      <c r="G17" s="7" t="n">
        <v>0.72</v>
      </c>
      <c r="H17" s="7" t="n">
        <f aca="false">SUM(C17:G17)</f>
        <v>6.368</v>
      </c>
    </row>
    <row r="18" customFormat="false" ht="15" hidden="false" customHeight="false" outlineLevel="0" collapsed="false">
      <c r="A18" s="4" t="s">
        <v>15</v>
      </c>
      <c r="B18" s="4" t="s">
        <v>24</v>
      </c>
      <c r="C18" s="7" t="n">
        <v>1.127</v>
      </c>
      <c r="D18" s="7" t="n">
        <v>1.145</v>
      </c>
      <c r="E18" s="7" t="n">
        <v>3.239</v>
      </c>
      <c r="F18" s="7" t="n">
        <v>1.07</v>
      </c>
      <c r="G18" s="7" t="n">
        <v>0.984</v>
      </c>
      <c r="H18" s="7" t="n">
        <f aca="false">SUM(C18:G18)</f>
        <v>7.565</v>
      </c>
    </row>
    <row r="19" customFormat="false" ht="15" hidden="false" customHeight="false" outlineLevel="0" collapsed="false">
      <c r="A19" s="4" t="s">
        <v>15</v>
      </c>
      <c r="B19" s="4" t="s">
        <v>25</v>
      </c>
      <c r="C19" s="7" t="n">
        <v>1.463</v>
      </c>
      <c r="D19" s="7" t="n">
        <v>1.232</v>
      </c>
      <c r="E19" s="7" t="n">
        <v>2.751</v>
      </c>
      <c r="F19" s="7" t="n">
        <v>0.431</v>
      </c>
      <c r="G19" s="7" t="n">
        <v>0.676</v>
      </c>
      <c r="H19" s="7" t="n">
        <f aca="false">SUM(C19:G19)</f>
        <v>6.553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7" min="5" style="0" width="11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4" customFormat="false" ht="15" hidden="false" customHeight="false" outlineLevel="0" collapsed="false">
      <c r="A4" s="3" t="s">
        <v>28</v>
      </c>
    </row>
    <row r="5" customFormat="false" ht="15" hidden="false" customHeight="false" outlineLevel="0" collapsed="false">
      <c r="A5" s="8" t="s">
        <v>29</v>
      </c>
      <c r="B5" s="9" t="s">
        <v>7</v>
      </c>
      <c r="C5" s="9" t="s">
        <v>8</v>
      </c>
      <c r="D5" s="9" t="s">
        <v>9</v>
      </c>
      <c r="E5" s="9" t="s">
        <v>10</v>
      </c>
      <c r="F5" s="9" t="s">
        <v>11</v>
      </c>
      <c r="G5" s="9" t="s">
        <v>12</v>
      </c>
      <c r="H5" s="9" t="s">
        <v>13</v>
      </c>
    </row>
    <row r="6" customFormat="false" ht="15" hidden="false" customHeight="false" outlineLevel="0" collapsed="false">
      <c r="A6" s="4" t="s">
        <v>30</v>
      </c>
      <c r="B6" s="4" t="s">
        <v>14</v>
      </c>
      <c r="C6" s="6" t="n">
        <v>88.3</v>
      </c>
      <c r="D6" s="6" t="n">
        <v>95.5</v>
      </c>
      <c r="E6" s="6" t="n">
        <v>90.5</v>
      </c>
      <c r="F6" s="6" t="n">
        <v>50.4</v>
      </c>
      <c r="G6" s="6" t="n">
        <v>55.7</v>
      </c>
      <c r="H6" s="10" t="n">
        <v>4290</v>
      </c>
    </row>
    <row r="7" customFormat="false" ht="15" hidden="false" customHeight="false" outlineLevel="0" collapsed="false">
      <c r="A7" s="4" t="s">
        <v>30</v>
      </c>
      <c r="B7" s="4" t="s">
        <v>15</v>
      </c>
      <c r="C7" s="6" t="n">
        <v>87.7</v>
      </c>
      <c r="D7" s="6" t="n">
        <v>95.5</v>
      </c>
      <c r="E7" s="6" t="n">
        <v>90.5</v>
      </c>
      <c r="F7" s="6" t="n">
        <v>27.3</v>
      </c>
      <c r="G7" s="6" t="n">
        <v>30.1</v>
      </c>
      <c r="H7" s="10" t="n">
        <v>4192</v>
      </c>
    </row>
    <row r="8" customFormat="false" ht="15" hidden="false" customHeight="false" outlineLevel="0" collapsed="false">
      <c r="A8" s="4" t="s">
        <v>31</v>
      </c>
      <c r="B8" s="4" t="s">
        <v>14</v>
      </c>
      <c r="C8" s="6" t="n">
        <v>88.4</v>
      </c>
      <c r="D8" s="6" t="n">
        <v>95</v>
      </c>
      <c r="E8" s="6" t="n">
        <v>85</v>
      </c>
      <c r="F8" s="6" t="n">
        <v>17.1</v>
      </c>
      <c r="G8" s="6" t="n">
        <v>20.2</v>
      </c>
      <c r="H8" s="10" t="n">
        <v>3423</v>
      </c>
    </row>
    <row r="9" customFormat="false" ht="15" hidden="false" customHeight="false" outlineLevel="0" collapsed="false">
      <c r="A9" s="4" t="s">
        <v>31</v>
      </c>
      <c r="B9" s="4" t="s">
        <v>15</v>
      </c>
      <c r="C9" s="6" t="n">
        <v>79.8</v>
      </c>
      <c r="D9" s="6" t="n">
        <v>95</v>
      </c>
      <c r="E9" s="6" t="n">
        <v>87</v>
      </c>
      <c r="F9" s="6" t="n">
        <v>4</v>
      </c>
      <c r="G9" s="6" t="n">
        <v>4.5</v>
      </c>
      <c r="H9" s="10" t="n">
        <v>3015</v>
      </c>
    </row>
    <row r="11" customFormat="false" ht="15" hidden="false" customHeight="false" outlineLevel="0" collapsed="false">
      <c r="A11" s="3" t="s">
        <v>32</v>
      </c>
    </row>
    <row r="12" customFormat="false" ht="15" hidden="false" customHeight="false" outlineLevel="0" collapsed="false">
      <c r="A12" s="8" t="s">
        <v>29</v>
      </c>
      <c r="B12" s="9" t="s">
        <v>7</v>
      </c>
      <c r="C12" s="9" t="s">
        <v>17</v>
      </c>
      <c r="D12" s="9" t="s">
        <v>13</v>
      </c>
      <c r="E12" s="9" t="s">
        <v>33</v>
      </c>
      <c r="F12" s="9" t="s">
        <v>34</v>
      </c>
      <c r="G12" s="9" t="s">
        <v>35</v>
      </c>
      <c r="H12" s="9" t="s">
        <v>36</v>
      </c>
    </row>
    <row r="13" customFormat="false" ht="15" hidden="false" customHeight="false" outlineLevel="0" collapsed="false">
      <c r="A13" s="4" t="s">
        <v>37</v>
      </c>
      <c r="B13" s="4" t="s">
        <v>15</v>
      </c>
      <c r="C13" s="4" t="s">
        <v>24</v>
      </c>
      <c r="D13" s="10" t="n">
        <v>4181</v>
      </c>
      <c r="E13" s="5" t="n">
        <v>69</v>
      </c>
      <c r="F13" s="5" t="n">
        <v>194</v>
      </c>
      <c r="G13" s="5" t="n">
        <v>48</v>
      </c>
      <c r="H13" s="5" t="n">
        <f aca="false">SUM(E13:G13)</f>
        <v>311</v>
      </c>
    </row>
    <row r="14" customFormat="false" ht="15" hidden="false" customHeight="false" outlineLevel="0" collapsed="false">
      <c r="A14" s="4" t="s">
        <v>37</v>
      </c>
      <c r="B14" s="4" t="s">
        <v>15</v>
      </c>
      <c r="C14" s="4" t="s">
        <v>25</v>
      </c>
      <c r="D14" s="10" t="n">
        <v>4248</v>
      </c>
      <c r="E14" s="5" t="n">
        <v>74</v>
      </c>
      <c r="F14" s="5" t="n">
        <v>165</v>
      </c>
      <c r="G14" s="5" t="n">
        <v>67</v>
      </c>
      <c r="H14" s="5" t="n">
        <f aca="false">SUM(E14:G14)</f>
        <v>306</v>
      </c>
    </row>
    <row r="15" customFormat="false" ht="15" hidden="false" customHeight="false" outlineLevel="0" collapsed="false">
      <c r="A15" s="4" t="s">
        <v>37</v>
      </c>
      <c r="B15" s="4" t="s">
        <v>14</v>
      </c>
      <c r="C15" s="4" t="s">
        <v>24</v>
      </c>
      <c r="D15" s="10" t="n">
        <v>4548</v>
      </c>
      <c r="E15" s="5" t="n">
        <v>62</v>
      </c>
      <c r="F15" s="5" t="n">
        <v>144</v>
      </c>
      <c r="G15" s="5" t="n">
        <v>80</v>
      </c>
      <c r="H15" s="5" t="n">
        <f aca="false">SUM(E15:G15)</f>
        <v>286</v>
      </c>
    </row>
    <row r="16" customFormat="false" ht="15" hidden="false" customHeight="false" outlineLevel="0" collapsed="false">
      <c r="A16" s="4" t="s">
        <v>37</v>
      </c>
      <c r="B16" s="4" t="s">
        <v>14</v>
      </c>
      <c r="C16" s="4" t="s">
        <v>25</v>
      </c>
      <c r="D16" s="10" t="n">
        <v>3980</v>
      </c>
      <c r="E16" s="5" t="n">
        <v>66</v>
      </c>
      <c r="F16" s="5" t="n">
        <v>148</v>
      </c>
      <c r="G16" s="5" t="n">
        <v>113</v>
      </c>
      <c r="H16" s="5" t="n">
        <f aca="false">SUM(E16:G16)</f>
        <v>327</v>
      </c>
    </row>
    <row r="17" customFormat="false" ht="15" hidden="false" customHeight="false" outlineLevel="0" collapsed="false">
      <c r="A17" s="4" t="s">
        <v>38</v>
      </c>
      <c r="B17" s="4" t="s">
        <v>15</v>
      </c>
      <c r="C17" s="4" t="s">
        <v>24</v>
      </c>
      <c r="D17" s="10" t="n">
        <v>3394</v>
      </c>
      <c r="E17" s="5" t="n">
        <v>69</v>
      </c>
      <c r="F17" s="5" t="n">
        <v>194</v>
      </c>
      <c r="G17" s="5" t="n">
        <v>120</v>
      </c>
      <c r="H17" s="5" t="n">
        <f aca="false">SUM(E17:G17)</f>
        <v>383</v>
      </c>
    </row>
    <row r="18" customFormat="false" ht="15" hidden="false" customHeight="false" outlineLevel="0" collapsed="false">
      <c r="A18" s="4" t="s">
        <v>38</v>
      </c>
      <c r="B18" s="4" t="s">
        <v>15</v>
      </c>
      <c r="C18" s="4" t="s">
        <v>25</v>
      </c>
      <c r="D18" s="10" t="n">
        <v>2817</v>
      </c>
      <c r="E18" s="5" t="n">
        <v>74</v>
      </c>
      <c r="F18" s="5" t="n">
        <v>165</v>
      </c>
      <c r="G18" s="5" t="n">
        <v>222</v>
      </c>
      <c r="H18" s="5" t="n">
        <f aca="false">SUM(E18:G18)</f>
        <v>461</v>
      </c>
    </row>
    <row r="19" customFormat="false" ht="15" hidden="false" customHeight="false" outlineLevel="0" collapsed="false">
      <c r="A19" s="4" t="s">
        <v>38</v>
      </c>
      <c r="B19" s="4" t="s">
        <v>14</v>
      </c>
      <c r="C19" s="4" t="s">
        <v>25</v>
      </c>
      <c r="D19" s="10" t="n">
        <v>3195</v>
      </c>
      <c r="E19" s="5" t="n">
        <v>66</v>
      </c>
      <c r="F19" s="5" t="n">
        <v>148</v>
      </c>
      <c r="G19" s="5" t="n">
        <v>193</v>
      </c>
      <c r="H19" s="5" t="n">
        <f aca="false">SUM(E19:G19)</f>
        <v>407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0"/>
    <col collapsed="false" customWidth="true" hidden="false" outlineLevel="0" max="6" min="4" style="0" width="12"/>
  </cols>
  <sheetData>
    <row r="1" customFormat="false" ht="17.35" hidden="false" customHeight="false" outlineLevel="0" collapsed="false">
      <c r="A1" s="1" t="s">
        <v>39</v>
      </c>
    </row>
    <row r="2" customFormat="false" ht="15" hidden="false" customHeight="false" outlineLevel="0" collapsed="false">
      <c r="A2" s="2" t="s">
        <v>40</v>
      </c>
    </row>
    <row r="4" customFormat="false" ht="15" hidden="false" customHeight="false" outlineLevel="0" collapsed="false">
      <c r="A4" s="8" t="s">
        <v>7</v>
      </c>
      <c r="B4" s="9" t="s">
        <v>17</v>
      </c>
      <c r="C4" s="9" t="s">
        <v>41</v>
      </c>
      <c r="D4" s="9" t="s">
        <v>13</v>
      </c>
      <c r="E4" s="9" t="s">
        <v>42</v>
      </c>
      <c r="F4" s="9" t="s">
        <v>43</v>
      </c>
    </row>
    <row r="5" customFormat="false" ht="15" hidden="false" customHeight="false" outlineLevel="0" collapsed="false">
      <c r="A5" s="4" t="s">
        <v>15</v>
      </c>
      <c r="B5" s="4" t="s">
        <v>24</v>
      </c>
      <c r="C5" s="6" t="n">
        <v>0.5</v>
      </c>
      <c r="D5" s="10" t="n">
        <v>1419</v>
      </c>
      <c r="E5" s="11" t="n">
        <v>14.7</v>
      </c>
      <c r="F5" s="11" t="n">
        <v>6.98</v>
      </c>
    </row>
    <row r="6" customFormat="false" ht="15" hidden="false" customHeight="false" outlineLevel="0" collapsed="false">
      <c r="A6" s="4" t="s">
        <v>15</v>
      </c>
      <c r="B6" s="4" t="s">
        <v>24</v>
      </c>
      <c r="C6" s="6" t="n">
        <v>2.9</v>
      </c>
      <c r="D6" s="10" t="n">
        <v>868</v>
      </c>
      <c r="E6" s="11" t="n">
        <v>24.04</v>
      </c>
      <c r="F6" s="11" t="n">
        <v>16.32</v>
      </c>
    </row>
    <row r="7" customFormat="false" ht="15" hidden="false" customHeight="false" outlineLevel="0" collapsed="false">
      <c r="A7" s="4" t="s">
        <v>15</v>
      </c>
      <c r="B7" s="4" t="s">
        <v>24</v>
      </c>
      <c r="C7" s="6" t="n">
        <v>3</v>
      </c>
      <c r="D7" s="10" t="n">
        <v>858</v>
      </c>
      <c r="E7" s="11" t="n">
        <v>24.32</v>
      </c>
      <c r="F7" s="11" t="n">
        <v>16.6</v>
      </c>
    </row>
    <row r="8" customFormat="false" ht="15" hidden="false" customHeight="false" outlineLevel="0" collapsed="false">
      <c r="A8" s="4" t="s">
        <v>15</v>
      </c>
      <c r="B8" s="4" t="s">
        <v>24</v>
      </c>
      <c r="C8" s="6" t="n">
        <v>3.1</v>
      </c>
      <c r="D8" s="10" t="n">
        <v>848</v>
      </c>
      <c r="E8" s="11" t="n">
        <v>24.59</v>
      </c>
      <c r="F8" s="11" t="n">
        <v>16.88</v>
      </c>
    </row>
    <row r="9" customFormat="false" ht="15" hidden="false" customHeight="false" outlineLevel="0" collapsed="false">
      <c r="A9" s="4" t="s">
        <v>15</v>
      </c>
      <c r="B9" s="4" t="s">
        <v>24</v>
      </c>
      <c r="C9" s="6" t="n">
        <v>3.2</v>
      </c>
      <c r="D9" s="10" t="n">
        <v>839</v>
      </c>
      <c r="E9" s="11" t="n">
        <v>24.87</v>
      </c>
      <c r="F9" s="11" t="n">
        <v>17.15</v>
      </c>
    </row>
    <row r="10" customFormat="false" ht="15" hidden="false" customHeight="false" outlineLevel="0" collapsed="false">
      <c r="A10" s="4" t="s">
        <v>15</v>
      </c>
      <c r="B10" s="4" t="s">
        <v>24</v>
      </c>
      <c r="C10" s="6" t="n">
        <v>3.3</v>
      </c>
      <c r="D10" s="10" t="n">
        <v>830</v>
      </c>
      <c r="E10" s="11" t="n">
        <v>25.13</v>
      </c>
      <c r="F10" s="11" t="n">
        <v>17.41</v>
      </c>
    </row>
    <row r="11" customFormat="false" ht="15" hidden="false" customHeight="false" outlineLevel="0" collapsed="false">
      <c r="A11" s="4" t="s">
        <v>15</v>
      </c>
      <c r="B11" s="4" t="s">
        <v>24</v>
      </c>
      <c r="C11" s="6" t="n">
        <v>3.9</v>
      </c>
      <c r="D11" s="10" t="n">
        <v>783</v>
      </c>
      <c r="E11" s="11" t="n">
        <v>26.66</v>
      </c>
      <c r="F11" s="11" t="n">
        <v>18.95</v>
      </c>
    </row>
    <row r="12" customFormat="false" ht="15" hidden="false" customHeight="false" outlineLevel="0" collapsed="false">
      <c r="A12" s="4" t="s">
        <v>15</v>
      </c>
      <c r="B12" s="4" t="s">
        <v>24</v>
      </c>
      <c r="C12" s="6" t="n">
        <v>4</v>
      </c>
      <c r="D12" s="10" t="n">
        <v>775</v>
      </c>
      <c r="E12" s="11" t="n">
        <v>26.91</v>
      </c>
      <c r="F12" s="11" t="n">
        <v>19.19</v>
      </c>
    </row>
    <row r="13" customFormat="false" ht="15" hidden="false" customHeight="false" outlineLevel="0" collapsed="false">
      <c r="A13" s="4" t="s">
        <v>15</v>
      </c>
      <c r="B13" s="4" t="s">
        <v>24</v>
      </c>
      <c r="C13" s="6" t="n">
        <v>5</v>
      </c>
      <c r="D13" s="10" t="n">
        <v>714</v>
      </c>
      <c r="E13" s="11" t="n">
        <v>29.21</v>
      </c>
      <c r="F13" s="11" t="n">
        <v>21.49</v>
      </c>
    </row>
    <row r="14" customFormat="false" ht="15" hidden="false" customHeight="false" outlineLevel="0" collapsed="false">
      <c r="A14" s="4" t="s">
        <v>15</v>
      </c>
      <c r="B14" s="4" t="s">
        <v>24</v>
      </c>
      <c r="C14" s="6" t="n">
        <v>5.1</v>
      </c>
      <c r="D14" s="10" t="n">
        <v>709</v>
      </c>
      <c r="E14" s="11" t="n">
        <v>29.43</v>
      </c>
      <c r="F14" s="11" t="n">
        <v>21.71</v>
      </c>
    </row>
    <row r="15" customFormat="false" ht="15" hidden="false" customHeight="false" outlineLevel="0" collapsed="false">
      <c r="A15" s="4" t="s">
        <v>15</v>
      </c>
      <c r="B15" s="4" t="s">
        <v>25</v>
      </c>
      <c r="C15" s="6" t="n">
        <v>1.8</v>
      </c>
      <c r="D15" s="10" t="n">
        <v>985</v>
      </c>
      <c r="E15" s="11" t="n">
        <v>21.19</v>
      </c>
      <c r="F15" s="11" t="n">
        <v>14.77</v>
      </c>
    </row>
    <row r="16" customFormat="false" ht="15" hidden="false" customHeight="false" outlineLevel="0" collapsed="false">
      <c r="A16" s="4" t="s">
        <v>15</v>
      </c>
      <c r="B16" s="4" t="s">
        <v>25</v>
      </c>
      <c r="C16" s="6" t="n">
        <v>3</v>
      </c>
      <c r="D16" s="10" t="n">
        <v>832</v>
      </c>
      <c r="E16" s="11" t="n">
        <v>25.09</v>
      </c>
      <c r="F16" s="11" t="n">
        <v>18.67</v>
      </c>
    </row>
    <row r="17" customFormat="false" ht="15" hidden="false" customHeight="false" outlineLevel="0" collapsed="false">
      <c r="A17" s="4" t="s">
        <v>15</v>
      </c>
      <c r="B17" s="4" t="s">
        <v>25</v>
      </c>
      <c r="C17" s="6" t="n">
        <v>3.5</v>
      </c>
      <c r="D17" s="10" t="n">
        <v>787</v>
      </c>
      <c r="E17" s="11" t="n">
        <v>26.52</v>
      </c>
      <c r="F17" s="11" t="n">
        <v>20.11</v>
      </c>
    </row>
    <row r="18" customFormat="false" ht="15" hidden="false" customHeight="false" outlineLevel="0" collapsed="false">
      <c r="A18" s="4" t="s">
        <v>15</v>
      </c>
      <c r="B18" s="4" t="s">
        <v>25</v>
      </c>
      <c r="C18" s="6" t="n">
        <v>3.6</v>
      </c>
      <c r="D18" s="10" t="n">
        <v>778</v>
      </c>
      <c r="E18" s="11" t="n">
        <v>26.8</v>
      </c>
      <c r="F18" s="11" t="n">
        <v>20.38</v>
      </c>
    </row>
    <row r="19" customFormat="false" ht="15" hidden="false" customHeight="false" outlineLevel="0" collapsed="false">
      <c r="A19" s="4" t="s">
        <v>15</v>
      </c>
      <c r="B19" s="4" t="s">
        <v>25</v>
      </c>
      <c r="C19" s="6" t="n">
        <v>3.8</v>
      </c>
      <c r="D19" s="10" t="n">
        <v>763</v>
      </c>
      <c r="E19" s="11" t="n">
        <v>27.35</v>
      </c>
      <c r="F19" s="11" t="n">
        <v>20.93</v>
      </c>
    </row>
    <row r="20" customFormat="false" ht="15" hidden="false" customHeight="false" outlineLevel="0" collapsed="false">
      <c r="A20" s="4" t="s">
        <v>15</v>
      </c>
      <c r="B20" s="4" t="s">
        <v>25</v>
      </c>
      <c r="C20" s="6" t="n">
        <v>4.3</v>
      </c>
      <c r="D20" s="10" t="n">
        <v>728</v>
      </c>
      <c r="E20" s="11" t="n">
        <v>28.67</v>
      </c>
      <c r="F20" s="11" t="n">
        <v>22.25</v>
      </c>
    </row>
    <row r="21" customFormat="false" ht="15" hidden="false" customHeight="false" outlineLevel="0" collapsed="false">
      <c r="A21" s="4" t="s">
        <v>14</v>
      </c>
      <c r="B21" s="4" t="s">
        <v>24</v>
      </c>
      <c r="C21" s="6" t="n">
        <v>3.8</v>
      </c>
      <c r="D21" s="10" t="n">
        <v>797</v>
      </c>
      <c r="E21" s="11" t="n">
        <v>26.19</v>
      </c>
      <c r="F21" s="11" t="n">
        <v>18.48</v>
      </c>
    </row>
    <row r="22" customFormat="false" ht="15" hidden="false" customHeight="false" outlineLevel="0" collapsed="false">
      <c r="A22" s="4" t="s">
        <v>14</v>
      </c>
      <c r="B22" s="4" t="s">
        <v>24</v>
      </c>
      <c r="C22" s="6" t="n">
        <v>3.9</v>
      </c>
      <c r="D22" s="10" t="n">
        <v>790</v>
      </c>
      <c r="E22" s="11" t="n">
        <v>26.42</v>
      </c>
      <c r="F22" s="11" t="n">
        <v>18.7</v>
      </c>
    </row>
    <row r="23" customFormat="false" ht="15" hidden="false" customHeight="false" outlineLevel="0" collapsed="false">
      <c r="A23" s="4" t="s">
        <v>14</v>
      </c>
      <c r="B23" s="4" t="s">
        <v>24</v>
      </c>
      <c r="C23" s="6" t="n">
        <v>4</v>
      </c>
      <c r="D23" s="10" t="n">
        <v>783</v>
      </c>
      <c r="E23" s="11" t="n">
        <v>26.64</v>
      </c>
      <c r="F23" s="11" t="n">
        <v>18.92</v>
      </c>
    </row>
    <row r="24" customFormat="false" ht="15" hidden="false" customHeight="false" outlineLevel="0" collapsed="false">
      <c r="A24" s="4" t="s">
        <v>14</v>
      </c>
      <c r="B24" s="4" t="s">
        <v>24</v>
      </c>
      <c r="C24" s="6" t="n">
        <v>4.3</v>
      </c>
      <c r="D24" s="10" t="n">
        <v>765</v>
      </c>
      <c r="E24" s="11" t="n">
        <v>27.29</v>
      </c>
      <c r="F24" s="11" t="n">
        <v>19.57</v>
      </c>
    </row>
    <row r="25" customFormat="false" ht="15" hidden="false" customHeight="false" outlineLevel="0" collapsed="false">
      <c r="A25" s="4" t="s">
        <v>14</v>
      </c>
      <c r="B25" s="4" t="s">
        <v>24</v>
      </c>
      <c r="C25" s="6" t="n">
        <v>4.4</v>
      </c>
      <c r="D25" s="10" t="n">
        <v>759</v>
      </c>
      <c r="E25" s="11" t="n">
        <v>27.5</v>
      </c>
      <c r="F25" s="11" t="n">
        <v>19.78</v>
      </c>
    </row>
    <row r="26" customFormat="false" ht="15" hidden="false" customHeight="false" outlineLevel="0" collapsed="false">
      <c r="A26" s="4" t="s">
        <v>14</v>
      </c>
      <c r="B26" s="4" t="s">
        <v>24</v>
      </c>
      <c r="C26" s="6" t="n">
        <v>4.5</v>
      </c>
      <c r="D26" s="10" t="n">
        <v>753</v>
      </c>
      <c r="E26" s="11" t="n">
        <v>27.7</v>
      </c>
      <c r="F26" s="11" t="n">
        <v>19.98</v>
      </c>
    </row>
    <row r="27" customFormat="false" ht="15" hidden="false" customHeight="false" outlineLevel="0" collapsed="false">
      <c r="A27" s="4" t="s">
        <v>14</v>
      </c>
      <c r="B27" s="4" t="s">
        <v>24</v>
      </c>
      <c r="C27" s="6" t="n">
        <v>4.6</v>
      </c>
      <c r="D27" s="10" t="n">
        <v>748</v>
      </c>
      <c r="E27" s="11" t="n">
        <v>27.9</v>
      </c>
      <c r="F27" s="11" t="n">
        <v>20.19</v>
      </c>
    </row>
    <row r="28" customFormat="false" ht="15" hidden="false" customHeight="false" outlineLevel="0" collapsed="false">
      <c r="A28" s="4" t="s">
        <v>14</v>
      </c>
      <c r="B28" s="4" t="s">
        <v>24</v>
      </c>
      <c r="C28" s="6" t="n">
        <v>4.7</v>
      </c>
      <c r="D28" s="10" t="n">
        <v>742</v>
      </c>
      <c r="E28" s="11" t="n">
        <v>28.1</v>
      </c>
      <c r="F28" s="11" t="n">
        <v>20.39</v>
      </c>
    </row>
    <row r="29" customFormat="false" ht="15" hidden="false" customHeight="false" outlineLevel="0" collapsed="false">
      <c r="A29" s="4" t="s">
        <v>14</v>
      </c>
      <c r="B29" s="4" t="s">
        <v>24</v>
      </c>
      <c r="C29" s="6" t="n">
        <v>5</v>
      </c>
      <c r="D29" s="10" t="n">
        <v>727</v>
      </c>
      <c r="E29" s="11" t="n">
        <v>28.69</v>
      </c>
      <c r="F29" s="11" t="n">
        <v>20.97</v>
      </c>
    </row>
    <row r="30" customFormat="false" ht="15" hidden="false" customHeight="false" outlineLevel="0" collapsed="false">
      <c r="A30" s="4" t="s">
        <v>14</v>
      </c>
      <c r="B30" s="4" t="s">
        <v>24</v>
      </c>
      <c r="C30" s="6" t="n">
        <v>5.1</v>
      </c>
      <c r="D30" s="10" t="n">
        <v>723</v>
      </c>
      <c r="E30" s="11" t="n">
        <v>28.87</v>
      </c>
      <c r="F30" s="11" t="n">
        <v>21.16</v>
      </c>
    </row>
    <row r="31" customFormat="false" ht="15" hidden="false" customHeight="false" outlineLevel="0" collapsed="false">
      <c r="A31" s="4" t="s">
        <v>14</v>
      </c>
      <c r="B31" s="4" t="s">
        <v>24</v>
      </c>
      <c r="C31" s="6" t="n">
        <v>5.4</v>
      </c>
      <c r="D31" s="10" t="n">
        <v>709</v>
      </c>
      <c r="E31" s="11" t="n">
        <v>29.43</v>
      </c>
      <c r="F31" s="11" t="n">
        <v>21.71</v>
      </c>
    </row>
    <row r="32" customFormat="false" ht="15" hidden="false" customHeight="false" outlineLevel="0" collapsed="false">
      <c r="A32" s="4" t="s">
        <v>14</v>
      </c>
      <c r="B32" s="4" t="s">
        <v>24</v>
      </c>
      <c r="C32" s="6" t="n">
        <v>5.5</v>
      </c>
      <c r="D32" s="10" t="n">
        <v>705</v>
      </c>
      <c r="E32" s="11" t="n">
        <v>29.61</v>
      </c>
      <c r="F32" s="11" t="n">
        <v>21.89</v>
      </c>
    </row>
    <row r="33" customFormat="false" ht="15" hidden="false" customHeight="false" outlineLevel="0" collapsed="false">
      <c r="A33" s="4" t="s">
        <v>14</v>
      </c>
      <c r="B33" s="4" t="s">
        <v>24</v>
      </c>
      <c r="C33" s="6" t="n">
        <v>5.7</v>
      </c>
      <c r="D33" s="10" t="n">
        <v>696</v>
      </c>
      <c r="E33" s="11" t="n">
        <v>29.96</v>
      </c>
      <c r="F33" s="11" t="n">
        <v>22.24</v>
      </c>
    </row>
    <row r="34" customFormat="false" ht="15" hidden="false" customHeight="false" outlineLevel="0" collapsed="false">
      <c r="A34" s="4" t="s">
        <v>14</v>
      </c>
      <c r="B34" s="4" t="s">
        <v>24</v>
      </c>
      <c r="C34" s="6" t="n">
        <v>7.5</v>
      </c>
      <c r="D34" s="10" t="n">
        <v>636</v>
      </c>
      <c r="E34" s="11" t="n">
        <v>32.81</v>
      </c>
      <c r="F34" s="11" t="n">
        <v>25.09</v>
      </c>
    </row>
    <row r="35" customFormat="false" ht="15" hidden="false" customHeight="false" outlineLevel="0" collapsed="false">
      <c r="A35" s="4" t="s">
        <v>14</v>
      </c>
      <c r="B35" s="4" t="s">
        <v>25</v>
      </c>
      <c r="C35" s="6" t="n">
        <v>0.8</v>
      </c>
      <c r="D35" s="10" t="n">
        <v>1267</v>
      </c>
      <c r="E35" s="11" t="n">
        <v>16.46</v>
      </c>
      <c r="F35" s="11" t="n">
        <v>10.05</v>
      </c>
    </row>
    <row r="36" customFormat="false" ht="15" hidden="false" customHeight="false" outlineLevel="0" collapsed="false">
      <c r="A36" s="4" t="s">
        <v>14</v>
      </c>
      <c r="B36" s="4" t="s">
        <v>25</v>
      </c>
      <c r="C36" s="6" t="n">
        <v>1.1</v>
      </c>
      <c r="D36" s="10" t="n">
        <v>1139</v>
      </c>
      <c r="E36" s="11" t="n">
        <v>18.32</v>
      </c>
      <c r="F36" s="11" t="n">
        <v>11.9</v>
      </c>
    </row>
    <row r="37" customFormat="false" ht="15" hidden="false" customHeight="false" outlineLevel="0" collapsed="false">
      <c r="A37" s="4" t="s">
        <v>14</v>
      </c>
      <c r="B37" s="4" t="s">
        <v>25</v>
      </c>
      <c r="C37" s="6" t="n">
        <v>1.5</v>
      </c>
      <c r="D37" s="10" t="n">
        <v>1027</v>
      </c>
      <c r="E37" s="11" t="n">
        <v>20.32</v>
      </c>
      <c r="F37" s="11" t="n">
        <v>13.91</v>
      </c>
    </row>
    <row r="38" customFormat="false" ht="15" hidden="false" customHeight="false" outlineLevel="0" collapsed="false">
      <c r="A38" s="4" t="s">
        <v>14</v>
      </c>
      <c r="B38" s="4" t="s">
        <v>25</v>
      </c>
      <c r="C38" s="6" t="n">
        <v>1.8</v>
      </c>
      <c r="D38" s="10" t="n">
        <v>966</v>
      </c>
      <c r="E38" s="11" t="n">
        <v>21.61</v>
      </c>
      <c r="F38" s="11" t="n">
        <v>15.19</v>
      </c>
    </row>
    <row r="39" customFormat="false" ht="15" hidden="false" customHeight="false" outlineLevel="0" collapsed="false">
      <c r="A39" s="4" t="s">
        <v>14</v>
      </c>
      <c r="B39" s="4" t="s">
        <v>25</v>
      </c>
      <c r="C39" s="6" t="n">
        <v>2.1</v>
      </c>
      <c r="D39" s="10" t="n">
        <v>917</v>
      </c>
      <c r="E39" s="11" t="n">
        <v>22.75</v>
      </c>
      <c r="F39" s="11" t="n">
        <v>16.33</v>
      </c>
    </row>
    <row r="40" customFormat="false" ht="15" hidden="false" customHeight="false" outlineLevel="0" collapsed="false">
      <c r="A40" s="4" t="s">
        <v>14</v>
      </c>
      <c r="B40" s="4" t="s">
        <v>25</v>
      </c>
      <c r="C40" s="6" t="n">
        <v>2.9</v>
      </c>
      <c r="D40" s="10" t="n">
        <v>823</v>
      </c>
      <c r="E40" s="11" t="n">
        <v>25.35</v>
      </c>
      <c r="F40" s="11" t="n">
        <v>18.93</v>
      </c>
    </row>
    <row r="41" customFormat="false" ht="15" hidden="false" customHeight="false" outlineLevel="0" collapsed="false">
      <c r="A41" s="4" t="s">
        <v>14</v>
      </c>
      <c r="B41" s="4" t="s">
        <v>25</v>
      </c>
      <c r="C41" s="6" t="n">
        <v>5.2</v>
      </c>
      <c r="D41" s="10" t="n">
        <v>677</v>
      </c>
      <c r="E41" s="11" t="n">
        <v>30.83</v>
      </c>
      <c r="F41" s="11" t="n">
        <v>24.41</v>
      </c>
    </row>
    <row r="42" customFormat="false" ht="15" hidden="false" customHeight="false" outlineLevel="0" collapsed="false">
      <c r="A42" s="4" t="s">
        <v>14</v>
      </c>
      <c r="B42" s="4" t="s">
        <v>25</v>
      </c>
      <c r="C42" s="6" t="n">
        <v>5.8</v>
      </c>
      <c r="D42" s="10" t="n">
        <v>652</v>
      </c>
      <c r="E42" s="11" t="n">
        <v>31.98</v>
      </c>
      <c r="F42" s="11" t="n">
        <v>25.56</v>
      </c>
    </row>
    <row r="43" customFormat="false" ht="15" hidden="false" customHeight="false" outlineLevel="0" collapsed="false">
      <c r="A43" s="4" t="s">
        <v>14</v>
      </c>
      <c r="B43" s="4" t="s">
        <v>25</v>
      </c>
      <c r="C43" s="6" t="n">
        <v>5.9</v>
      </c>
      <c r="D43" s="10" t="n">
        <v>649</v>
      </c>
      <c r="E43" s="11" t="n">
        <v>32.17</v>
      </c>
      <c r="F43" s="11" t="n">
        <v>25.75</v>
      </c>
    </row>
    <row r="44" customFormat="false" ht="15" hidden="false" customHeight="false" outlineLevel="0" collapsed="false">
      <c r="A44" s="4" t="s">
        <v>14</v>
      </c>
      <c r="B44" s="4" t="s">
        <v>25</v>
      </c>
      <c r="C44" s="6" t="n">
        <v>6.2</v>
      </c>
      <c r="D44" s="10" t="n">
        <v>638</v>
      </c>
      <c r="E44" s="11" t="n">
        <v>32.7</v>
      </c>
      <c r="F44" s="11" t="n">
        <v>26.29</v>
      </c>
    </row>
    <row r="45" customFormat="false" ht="15" hidden="false" customHeight="false" outlineLevel="0" collapsed="false">
      <c r="A45" s="4" t="s">
        <v>14</v>
      </c>
      <c r="B45" s="4" t="s">
        <v>25</v>
      </c>
      <c r="C45" s="6" t="n">
        <v>6.6</v>
      </c>
      <c r="D45" s="10" t="n">
        <v>625</v>
      </c>
      <c r="E45" s="11" t="n">
        <v>33.4</v>
      </c>
      <c r="F45" s="11" t="n">
        <v>26.98</v>
      </c>
    </row>
    <row r="46" customFormat="false" ht="15" hidden="false" customHeight="false" outlineLevel="0" collapsed="false">
      <c r="A46" s="4" t="s">
        <v>14</v>
      </c>
      <c r="B46" s="4" t="s">
        <v>25</v>
      </c>
      <c r="C46" s="6" t="n">
        <v>6.7</v>
      </c>
      <c r="D46" s="10" t="n">
        <v>622</v>
      </c>
      <c r="E46" s="11" t="n">
        <v>33.57</v>
      </c>
      <c r="F46" s="11" t="n">
        <v>27.15</v>
      </c>
    </row>
    <row r="47" customFormat="false" ht="15" hidden="false" customHeight="false" outlineLevel="0" collapsed="false">
      <c r="A47" s="4" t="s">
        <v>14</v>
      </c>
      <c r="B47" s="4" t="s">
        <v>25</v>
      </c>
      <c r="C47" s="6" t="n">
        <v>6.9</v>
      </c>
      <c r="D47" s="10" t="n">
        <v>616</v>
      </c>
      <c r="E47" s="11" t="n">
        <v>33.9</v>
      </c>
      <c r="F47" s="11" t="n">
        <v>27.48</v>
      </c>
    </row>
    <row r="48" customFormat="false" ht="15" hidden="false" customHeight="false" outlineLevel="0" collapsed="false">
      <c r="A48" s="4" t="s">
        <v>14</v>
      </c>
      <c r="B48" s="4" t="s">
        <v>25</v>
      </c>
      <c r="C48" s="6" t="n">
        <v>7</v>
      </c>
      <c r="D48" s="10" t="n">
        <v>613</v>
      </c>
      <c r="E48" s="11" t="n">
        <v>34.06</v>
      </c>
      <c r="F48" s="11" t="n">
        <v>27.65</v>
      </c>
    </row>
    <row r="49" customFormat="false" ht="15" hidden="false" customHeight="false" outlineLevel="0" collapsed="false">
      <c r="A49" s="4" t="s">
        <v>14</v>
      </c>
      <c r="B49" s="4" t="s">
        <v>25</v>
      </c>
      <c r="C49" s="6" t="n">
        <v>7.3</v>
      </c>
      <c r="D49" s="10" t="n">
        <v>604</v>
      </c>
      <c r="E49" s="11" t="n">
        <v>34.55</v>
      </c>
      <c r="F49" s="11" t="n">
        <v>28.13</v>
      </c>
    </row>
    <row r="50" customFormat="false" ht="15" hidden="false" customHeight="false" outlineLevel="0" collapsed="false">
      <c r="A50" s="4" t="s">
        <v>14</v>
      </c>
      <c r="B50" s="4" t="s">
        <v>25</v>
      </c>
      <c r="C50" s="6" t="n">
        <v>7.5</v>
      </c>
      <c r="D50" s="10" t="n">
        <v>599</v>
      </c>
      <c r="E50" s="11" t="n">
        <v>34.86</v>
      </c>
      <c r="F50" s="11" t="n">
        <v>28.44</v>
      </c>
    </row>
    <row r="51" customFormat="false" ht="15" hidden="false" customHeight="false" outlineLevel="0" collapsed="false">
      <c r="A51" s="4" t="s">
        <v>14</v>
      </c>
      <c r="B51" s="4" t="s">
        <v>25</v>
      </c>
      <c r="C51" s="6" t="n">
        <v>7.6</v>
      </c>
      <c r="D51" s="10" t="n">
        <v>596</v>
      </c>
      <c r="E51" s="11" t="n">
        <v>35.01</v>
      </c>
      <c r="F51" s="11" t="n">
        <v>28.6</v>
      </c>
    </row>
    <row r="52" customFormat="false" ht="15" hidden="false" customHeight="false" outlineLevel="0" collapsed="false">
      <c r="A52" s="4" t="s">
        <v>14</v>
      </c>
      <c r="B52" s="4" t="s">
        <v>25</v>
      </c>
      <c r="C52" s="6" t="n">
        <v>9.7</v>
      </c>
      <c r="D52" s="10" t="n">
        <v>549</v>
      </c>
      <c r="E52" s="11" t="n">
        <v>38</v>
      </c>
      <c r="F52" s="11" t="n">
        <v>31.58</v>
      </c>
    </row>
    <row r="53" customFormat="false" ht="15" hidden="false" customHeight="false" outlineLevel="0" collapsed="false">
      <c r="A53" s="4" t="s">
        <v>14</v>
      </c>
      <c r="B53" s="4" t="s">
        <v>25</v>
      </c>
      <c r="C53" s="6" t="n">
        <v>11.4</v>
      </c>
      <c r="D53" s="10" t="n">
        <v>479</v>
      </c>
      <c r="E53" s="11" t="n">
        <v>43.56</v>
      </c>
      <c r="F53" s="11" t="n">
        <v>37.14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2026-07-26T19:09:11Z</dcterms:created>
  <dc:creator>openpyxl</dc:creator>
  <dc:description/>
  <dc:language>en-US</dc:language>
  <cp:lastModifiedBy/>
  <dcterms:modified xsi:type="dcterms:W3CDTF">2026-07-26T19:09:11Z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